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مرجع_القيم" sheetId="1" r:id="rId5"/>
    <sheet state="visible" name="العملاء" sheetId="2" r:id="rId6"/>
    <sheet state="visible" name="المنتجات_الوحدات" sheetId="3" r:id="rId7"/>
    <sheet state="visible" name="المشاريع" sheetId="4" r:id="rId8"/>
    <sheet state="visible" name="المناديب" sheetId="5" r:id="rId9"/>
    <sheet state="visible" name="KPI_المبيعات" sheetId="6" r:id="rId10"/>
    <sheet state="visible" name="KPI_المشاريع" sheetId="7" r:id="rId11"/>
    <sheet state="visible" name="KPI_المخزون" sheetId="8" r:id="rId12"/>
    <sheet state="visible" name="KPI_المالية" sheetId="9" r:id="rId13"/>
    <sheet state="visible" name="KPI_السيادة" sheetId="10" r:id="rId14"/>
    <sheet state="visible" name="الحجوزات" sheetId="11" r:id="rId15"/>
    <sheet state="visible" name="HR" sheetId="12" r:id="rId16"/>
  </sheets>
  <definedNames/>
  <calcPr/>
</workbook>
</file>

<file path=xl/sharedStrings.xml><?xml version="1.0" encoding="utf-8"?>
<sst xmlns="http://schemas.openxmlformats.org/spreadsheetml/2006/main" count="181" uniqueCount="170">
  <si>
    <t>القيم,القائمة</t>
  </si>
  <si>
    <t>جدید,نوع_العميل</t>
  </si>
  <si>
    <t>متابعھ,نوع_العميل</t>
  </si>
  <si>
    <t>متابعة,نوع_العميل</t>
  </si>
  <si>
    <t>زیارة,الموقف</t>
  </si>
  <si>
    <t>حجز,الموقف</t>
  </si>
  <si>
    <t>تفاوض,الموقف</t>
  </si>
  <si>
    <t>عرض,الموقف</t>
  </si>
  <si>
    <t>انھاء,الموقف</t>
  </si>
  <si>
    <t>سكني,النوع</t>
  </si>
  <si>
    <t>تجاري,النوع</t>
  </si>
  <si>
    <t>اداري,النوع</t>
  </si>
  <si>
    <t>متاح,االتاحة</t>
  </si>
  <si>
    <t>محجوز,االتاحة</t>
  </si>
  <si>
    <t>جدة,المدینة</t>
  </si>
  <si>
    <t>سكني,نوع_العقار</t>
  </si>
  <si>
    <t>تجاري,نوع_العقار</t>
  </si>
  <si>
    <t>اداري,نوع_العقار</t>
  </si>
  <si>
    <t>الموقف,القدرة_الشرائية,نوع_العميل,رقم_الموبایل,الإسم,ID_عميل</t>
  </si>
  <si>
    <t>client_id</t>
  </si>
  <si>
    <t>زیارة,800000,جدید,555555555,فھد القرني,-1</t>
  </si>
  <si>
    <t>client_name</t>
  </si>
  <si>
    <t>حجز,850000,متابعھ,5666666666,عبداللھ الحازمي,-2</t>
  </si>
  <si>
    <t>phone</t>
  </si>
  <si>
    <t>تفاوض,1100000,جدید,57777777777,سعيد الغامدي,-3</t>
  </si>
  <si>
    <t>client_type</t>
  </si>
  <si>
    <t>انھاء,1150000,جدید,588888888,عبداللھ الزھراني,-4</t>
  </si>
  <si>
    <t>purchasing_power</t>
  </si>
  <si>
    <t>عرض,13500000,متابعھ,599999999,ماجد الجھني,-5</t>
  </si>
  <si>
    <t>status</t>
  </si>
  <si>
    <t>,800000,جدید,5111111111,عوض القحطاني,-6</t>
  </si>
  <si>
    <t>,850000,متابعھ,5222222222,مصطفى الشال,-7</t>
  </si>
  <si>
    <t>,1100000,جدید,5333333333,أبو علوي,-8</t>
  </si>
  <si>
    <t>,1150000,جدید,54444444444,معتز الرياشي,-9</t>
  </si>
  <si>
    <t>,13500000,متابعھ,51211111,احمد الرياشي,-10</t>
  </si>
  <si>
    <t>,1500000,جدید,513333333,صالح الطوالھ,-11</t>
  </si>
  <si>
    <t>,850000,متابعھ,5144444444,ممدوح الشمري,-12</t>
  </si>
  <si>
    <t>,950000,جدید,515555555,سالم المطيري,-13</t>
  </si>
  <si>
    <t>,1000000,متابعة,595941248,حسام القناوي,-14</t>
  </si>
  <si>
    <t>,1650000,متابعة,544101032,معتز الریاشي,-15</t>
  </si>
  <si>
    <t>الحي,النوع,السعر,الإسم,ID_منتج</t>
  </si>
  <si>
    <t>product_id</t>
  </si>
  <si>
    <t>الصفا,سكني,500000,شقة 3 غرف,1</t>
  </si>
  <si>
    <t>product_name</t>
  </si>
  <si>
    <t>المروة,سكني,600000,شقة 4 غرف,2</t>
  </si>
  <si>
    <t>category</t>
  </si>
  <si>
    <t>,سكني,700000,شقة 5 غرف,3</t>
  </si>
  <si>
    <t>price</t>
  </si>
  <si>
    <t>,سكني,850000,روف 5 غرف,4</t>
  </si>
  <si>
    <t>district</t>
  </si>
  <si>
    <t>,سكني,1100000,روف 6 غرف,5</t>
  </si>
  <si>
    <t>,تجاري,450000,مكتب 100 متر,6</t>
  </si>
  <si>
    <t>,سكني,3650000,أرض 900 متر,7</t>
  </si>
  <si>
    <t>,سكني,2500000,فيلا 450 متر,8</t>
  </si>
  <si>
    <t>,سكني,1750000,دوبلكس,9</t>
  </si>
  <si>
    <t>,سكني,2850000,تاون هاوس,10</t>
  </si>
  <si>
    <t>,تجاري,800000,مكتب 200 متر,11</t>
  </si>
  <si>
    <t>,تجاري,13500000,أرض 3000 متر,12</t>
  </si>
  <si>
    <t>اسم_المشروع,ID_مشروع</t>
  </si>
  <si>
    <t>project_id</t>
  </si>
  <si>
    <t>الموسى فيو,-1</t>
  </si>
  <si>
    <t>project_name</t>
  </si>
  <si>
    <t>النھضة -2,1</t>
  </si>
  <si>
    <t>النھضة -3,2</t>
  </si>
  <si>
    <t>النھضة -4,3</t>
  </si>
  <si>
    <t>الزھرة,-5</t>
  </si>
  <si>
    <t>المروة,-6</t>
  </si>
  <si>
    <t>الریان -7,1</t>
  </si>
  <si>
    <t>الریان -8,2</t>
  </si>
  <si>
    <t>الورود,-9</t>
  </si>
  <si>
    <t>الياسمين,-10</t>
  </si>
  <si>
    <t>العدد,الإتاحة,نوع_العقار,المدينة,رقم_الجوال,ممثل_المبيعات,ID_مندوب</t>
  </si>
  <si>
    <t>rep_id</t>
  </si>
  <si>
    <t>50,متاح,سكني,جدة,555555555,عبدالعزيز,-1</t>
  </si>
  <si>
    <t>rep_name</t>
  </si>
  <si>
    <t>30,متاح,تجاري,جدة,5666666666,أبو ناجي,-2</t>
  </si>
  <si>
    <t>20,متاح,اداري,جدة,57777777777,أبو غازي,-3</t>
  </si>
  <si>
    <t>city</t>
  </si>
  <si>
    <t>15,محجوز,سكني,جدة,588888888,أحمد,-4</t>
  </si>
  <si>
    <t>property_type</t>
  </si>
  <si>
    <t>10,محجوز,سكني,جدة,599999999,عبدالله,-5</t>
  </si>
  <si>
    <t>availability</t>
  </si>
  <si>
    <t>40,متاح,سكني,جدة,5111111111,عمرو,-6</t>
  </si>
  <si>
    <t>capacity</t>
  </si>
  <si>
    <t>50,متاح,تجاري,جدة,5222222222,رائد,-7</t>
  </si>
  <si>
    <t>30,متاح,اداري,جدة,5333333333,حمد,-8</t>
  </si>
  <si>
    <t>20,متاح,سكني,جدة,54444444444,الحارث,-9</t>
  </si>
  <si>
    <t>15,محجوز,سكني,جدة,51211111,أصالة,-10</t>
  </si>
  <si>
    <t>10,محجوز,تجاري,جدة,513333333,أمجاد,-11</t>
  </si>
  <si>
    <t>40,متاح,اداري,جدة,5144444444,عزيزة,-12</t>
  </si>
  <si>
    <t>50,متاح,اداري,جدة,515555555,عبدالله الحارثي,-13</t>
  </si>
  <si>
    <t>30,متاح,سكني,جدة,516666666,منى,-14</t>
  </si>
  <si>
    <t>20,محجوز,سكني,جدة,5177777777,رغد,-15</t>
  </si>
  <si>
    <t>القيمة,المؤشر,القسم</t>
  </si>
  <si>
    <t>section</t>
  </si>
  <si>
    <t>التسويق , زيارات الموقع , 5200</t>
  </si>
  <si>
    <t>5200,زيارات الموقع,قمع المبيعات</t>
  </si>
  <si>
    <t>metric</t>
  </si>
  <si>
    <t>850,استفسارات,قمع المبيعات</t>
  </si>
  <si>
    <t>value</t>
  </si>
  <si>
    <t>420,محادثات,قمع المبيعات</t>
  </si>
  <si>
    <t>147,معاينات,قمع المبيعات</t>
  </si>
  <si>
    <t>45,عروض,قمع المبيعات</t>
  </si>
  <si>
    <t>12,إغلاقات,قمع المبيعات</t>
  </si>
  <si>
    <t>147,العملاء الجدد,ملخص</t>
  </si>
  <si>
    <t>28,العروض,ملخص</t>
  </si>
  <si>
    <t>2.8٪,معدل التحويل,ملخص</t>
  </si>
  <si>
    <t>8٪,Lead Leakage,ملخص</t>
  </si>
  <si>
    <t>45,مشروع الياسمين,مشاريع مطلوبة</t>
  </si>
  <si>
    <t>32,أبراج النخيل,مشاريع مطلوبة</t>
  </si>
  <si>
    <t>28,واحة الشرق,مشاريع مطلوبة</t>
  </si>
  <si>
    <t>19,حي الزهور,مشاريع مطلوبة</t>
  </si>
  <si>
    <t>23,WhatsApp,محادثات حية</t>
  </si>
  <si>
    <t>8,الموقع,محادثات حية</t>
  </si>
  <si>
    <t>5,Messenger,محادثات حية</t>
  </si>
  <si>
    <t>12,مركز الاتصال,محادثات حية</t>
  </si>
  <si>
    <t>12,إجمالي المشاريع,ملخص</t>
  </si>
  <si>
    <t>8,في الموعد,ملخص</t>
  </si>
  <si>
    <t>3,تأخير طفيف,ملخص</t>
  </si>
  <si>
    <t>1,تأخير كبير,ملخص</t>
  </si>
  <si>
    <t>67٪,نسبة الإنجاز,ملخص</t>
  </si>
  <si>
    <t>5,الرياض,المدن</t>
  </si>
  <si>
    <t>3,جدة,المدن</t>
  </si>
  <si>
    <t>2,مكة,المدن</t>
  </si>
  <si>
    <t>2,الدمام,المدن</t>
  </si>
  <si>
    <t>ميزانية ٪2+ تسليم 15 مارس 2026 ✓ BIM 4/5 Gate 78٪,مشروع الياسمين - الرياض,تفاصيل</t>
  </si>
  <si>
    <t>ميزانية ٪1- تسليم 30 سبتمبر 2026 ✓ BIM 3/5 Gate 45٪,أبراج النخيل - جدة,تفاصيل</t>
  </si>
  <si>
    <t>87٪,كفاءة المخزون,ملخص</t>
  </si>
  <si>
    <t>2.3 مليون,قيمة المخزون,ملخص</t>
  </si>
  <si>
    <t>quantity</t>
  </si>
  <si>
    <t>4.2,معدل الدوران,ملخص</t>
  </si>
  <si>
    <t>2.1٪,نسبة الهدر,ملخص</t>
  </si>
  <si>
    <t>ينفد خلال 3 أيام,أسمنت - موقع الياسمين,تنبيهات</t>
  </si>
  <si>
    <t>ينفد خلال 7 أيام,حديد - موقع النخيل,تنبيهات</t>
  </si>
  <si>
    <t>ينفد خلال 10 أيام,سيراميك - موقع الزهور,تنبيهات</t>
  </si>
  <si>
    <t>وفر 85000 ر.س,توحيد شراء الحديد,فرص التوفير</t>
  </si>
  <si>
    <t>وفر 120000 ر.س,عقد إطاري للأسمنت,فرص التوفير</t>
  </si>
  <si>
    <t>وفر 35000 ر.س,تبديل مورد السيراميك,فرص التوفير</t>
  </si>
  <si>
    <t>8,معلقة,أوامر شراء</t>
  </si>
  <si>
    <t>12,قيد التنفيذ,أوامر شراء</t>
  </si>
  <si>
    <t>45,مكتملة,أوامر شراء</t>
  </si>
  <si>
    <t>80٪,حديد,المواد</t>
  </si>
  <si>
    <t>60٪,أسمنت,المواد</t>
  </si>
  <si>
    <t>75٪,طوب,المواد</t>
  </si>
  <si>
    <t>90٪,خرسانة,المواد</t>
  </si>
  <si>
    <t>85٪,دهانات,المواد</t>
  </si>
  <si>
    <t>40٪,سيراميك,المواد</t>
  </si>
  <si>
    <t>الإيرادات , 120000</t>
  </si>
  <si>
    <t>12.5 مليون,الإيرادات,الأداء المالي</t>
  </si>
  <si>
    <t>المصروفات , 80000</t>
  </si>
  <si>
    <t>8.2 مليون,المصروفات,الأداء المالي</t>
  </si>
  <si>
    <t>صافي الربح , 40000</t>
  </si>
  <si>
    <t>4.3 مليون,صافي الربح,الأداء المالي</t>
  </si>
  <si>
    <t>34٪,هامش الربح,الأداء المالي</t>
  </si>
  <si>
    <t>متصل – آخر فاتورة اليوم,ZATKA,الامتثال</t>
  </si>
  <si>
    <t>متصل – رواتب الشهر مكتملة,QIWA,الامتثال</t>
  </si>
  <si>
    <t>متصل – عقود موقعة: 12,NAFATH,الامتثال</t>
  </si>
  <si>
    <t>متصل – عقود إيجار: 45,إيجار,الامتثال</t>
  </si>
  <si>
    <t>38٪,الياسمين,ربحية المشاريع</t>
  </si>
  <si>
    <t>32٪,النخيل,ربحية المشاريع</t>
  </si>
  <si>
    <t>28٪,واحة الشرق,ربحية المشاريع</t>
  </si>
  <si>
    <t>35٪,الزهور,ربحية المشاريع</t>
  </si>
  <si>
    <t>الحصانة,Immunity Index,92/100</t>
  </si>
  <si>
    <t>93٪ / 88٪ / 95٪,قانوني / فني / مالي,الحصانة</t>
  </si>
  <si>
    <t>150 / 120 / 180 / 450,إجمالي / متاحة / محجوزة / مباعة,الوحدات</t>
  </si>
  <si>
    <t>4 / 8 / 12,نشطة / في الموعد / متأخرة,المشاريع</t>
  </si>
  <si>
    <t>87٪,كفاءة المخزون,المشتريات</t>
  </si>
  <si>
    <t>✓ / ✓ / ✓ / ✓ / ✓,إيجار / صكوك / NAFATH / QIWA / ZATKA,التكاملات</t>
  </si>
  <si>
    <t>تاريخ_الاستحقاق,دفعة_مستحقة,الحالة,ID_منتج,ID_عميل,ID_حجز</t>
  </si>
  <si>
    <t>حالة_التدريب,نسبة_التوطين,المشروع,الدور,الاسم,ID_موظف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</si>
</sst>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2" t="s">
        <v>19</v>
      </c>
    </row>
    <row r="2">
      <c r="A2" s="1" t="s">
        <v>20</v>
      </c>
      <c r="B2" s="2" t="s">
        <v>21</v>
      </c>
    </row>
    <row r="3">
      <c r="A3" s="1" t="s">
        <v>22</v>
      </c>
      <c r="B3" s="2" t="s">
        <v>23</v>
      </c>
    </row>
    <row r="4">
      <c r="A4" s="1" t="s">
        <v>24</v>
      </c>
      <c r="B4" s="2" t="s">
        <v>25</v>
      </c>
    </row>
    <row r="5">
      <c r="A5" s="1" t="s">
        <v>26</v>
      </c>
      <c r="B5" s="2" t="s">
        <v>27</v>
      </c>
    </row>
    <row r="6">
      <c r="A6" s="1" t="s">
        <v>28</v>
      </c>
      <c r="B6" s="2" t="s">
        <v>29</v>
      </c>
    </row>
    <row r="7">
      <c r="A7" s="1" t="s">
        <v>30</v>
      </c>
    </row>
    <row r="8">
      <c r="A8" s="1" t="s">
        <v>31</v>
      </c>
    </row>
    <row r="9">
      <c r="A9" s="1" t="s">
        <v>32</v>
      </c>
    </row>
    <row r="10">
      <c r="A10" s="1" t="s">
        <v>33</v>
      </c>
    </row>
    <row r="11">
      <c r="A11" s="1" t="s">
        <v>34</v>
      </c>
    </row>
    <row r="12">
      <c r="A12" s="1" t="s">
        <v>35</v>
      </c>
    </row>
    <row r="13">
      <c r="A13" s="1" t="s">
        <v>36</v>
      </c>
    </row>
    <row r="14">
      <c r="A14" s="1" t="s">
        <v>37</v>
      </c>
    </row>
    <row r="15">
      <c r="A15" s="1" t="s">
        <v>38</v>
      </c>
    </row>
    <row r="16">
      <c r="A16" s="1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2" t="s">
        <v>41</v>
      </c>
    </row>
    <row r="2">
      <c r="A2" s="1" t="s">
        <v>42</v>
      </c>
      <c r="B2" s="2" t="s">
        <v>43</v>
      </c>
    </row>
    <row r="3">
      <c r="A3" s="1" t="s">
        <v>44</v>
      </c>
      <c r="B3" s="2" t="s">
        <v>45</v>
      </c>
    </row>
    <row r="4">
      <c r="A4" s="1" t="s">
        <v>46</v>
      </c>
      <c r="B4" s="2" t="s">
        <v>47</v>
      </c>
    </row>
    <row r="5">
      <c r="A5" s="1" t="s">
        <v>48</v>
      </c>
      <c r="B5" s="2" t="s">
        <v>49</v>
      </c>
    </row>
    <row r="6">
      <c r="A6" s="1" t="s">
        <v>50</v>
      </c>
    </row>
    <row r="7">
      <c r="A7" s="1" t="s">
        <v>51</v>
      </c>
    </row>
    <row r="8">
      <c r="A8" s="1" t="s">
        <v>52</v>
      </c>
    </row>
    <row r="9">
      <c r="A9" s="1" t="s">
        <v>53</v>
      </c>
    </row>
    <row r="10">
      <c r="A10" s="1" t="s">
        <v>54</v>
      </c>
    </row>
    <row r="11">
      <c r="A11" s="1" t="s">
        <v>55</v>
      </c>
    </row>
    <row r="12">
      <c r="A12" s="1" t="s">
        <v>56</v>
      </c>
    </row>
    <row r="13">
      <c r="A13" s="1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</v>
      </c>
      <c r="B1" s="2" t="s">
        <v>59</v>
      </c>
    </row>
    <row r="2">
      <c r="A2" s="1" t="s">
        <v>60</v>
      </c>
      <c r="B2" s="2" t="s">
        <v>61</v>
      </c>
    </row>
    <row r="3">
      <c r="A3" s="1" t="s">
        <v>62</v>
      </c>
    </row>
    <row r="4">
      <c r="A4" s="1" t="s">
        <v>63</v>
      </c>
    </row>
    <row r="5">
      <c r="A5" s="1" t="s">
        <v>64</v>
      </c>
    </row>
    <row r="6">
      <c r="A6" s="1" t="s">
        <v>65</v>
      </c>
    </row>
    <row r="7">
      <c r="A7" s="1" t="s">
        <v>66</v>
      </c>
    </row>
    <row r="8">
      <c r="A8" s="1" t="s">
        <v>67</v>
      </c>
    </row>
    <row r="9">
      <c r="A9" s="1" t="s">
        <v>68</v>
      </c>
    </row>
    <row r="10">
      <c r="A10" s="1" t="s">
        <v>69</v>
      </c>
    </row>
    <row r="11">
      <c r="A11" s="1" t="s"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71</v>
      </c>
      <c r="B1" s="2" t="s">
        <v>72</v>
      </c>
    </row>
    <row r="2">
      <c r="A2" s="1" t="s">
        <v>73</v>
      </c>
      <c r="B2" s="2" t="s">
        <v>74</v>
      </c>
    </row>
    <row r="3">
      <c r="A3" s="1" t="s">
        <v>75</v>
      </c>
      <c r="B3" s="2" t="s">
        <v>23</v>
      </c>
    </row>
    <row r="4">
      <c r="A4" s="1" t="s">
        <v>76</v>
      </c>
      <c r="B4" s="2" t="s">
        <v>77</v>
      </c>
    </row>
    <row r="5">
      <c r="A5" s="1" t="s">
        <v>78</v>
      </c>
      <c r="B5" s="2" t="s">
        <v>79</v>
      </c>
    </row>
    <row r="6">
      <c r="A6" s="1" t="s">
        <v>80</v>
      </c>
      <c r="B6" s="2" t="s">
        <v>81</v>
      </c>
    </row>
    <row r="7">
      <c r="A7" s="1" t="s">
        <v>82</v>
      </c>
      <c r="B7" s="2" t="s">
        <v>83</v>
      </c>
    </row>
    <row r="8">
      <c r="A8" s="1" t="s">
        <v>84</v>
      </c>
    </row>
    <row r="9">
      <c r="A9" s="1" t="s">
        <v>85</v>
      </c>
    </row>
    <row r="10">
      <c r="A10" s="1" t="s">
        <v>86</v>
      </c>
    </row>
    <row r="11">
      <c r="A11" s="1" t="s">
        <v>87</v>
      </c>
    </row>
    <row r="12">
      <c r="A12" s="1" t="s">
        <v>88</v>
      </c>
    </row>
    <row r="13">
      <c r="A13" s="1" t="s">
        <v>89</v>
      </c>
    </row>
    <row r="14">
      <c r="A14" s="1" t="s">
        <v>90</v>
      </c>
    </row>
    <row r="15">
      <c r="A15" s="1" t="s">
        <v>91</v>
      </c>
    </row>
    <row r="16">
      <c r="A16" s="1" t="s">
        <v>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2" t="s">
        <v>94</v>
      </c>
      <c r="C1" s="1" t="s">
        <v>95</v>
      </c>
    </row>
    <row r="2">
      <c r="A2" s="1" t="s">
        <v>96</v>
      </c>
      <c r="B2" s="2" t="s">
        <v>97</v>
      </c>
    </row>
    <row r="3">
      <c r="A3" s="1" t="s">
        <v>98</v>
      </c>
      <c r="B3" s="2" t="s">
        <v>99</v>
      </c>
    </row>
    <row r="4">
      <c r="A4" s="1" t="s">
        <v>100</v>
      </c>
    </row>
    <row r="5">
      <c r="A5" s="1" t="s">
        <v>101</v>
      </c>
    </row>
    <row r="6">
      <c r="A6" s="1" t="s">
        <v>102</v>
      </c>
    </row>
    <row r="7">
      <c r="A7" s="1" t="s">
        <v>103</v>
      </c>
    </row>
    <row r="8">
      <c r="A8" s="1" t="s">
        <v>104</v>
      </c>
    </row>
    <row r="9">
      <c r="A9" s="1" t="s">
        <v>105</v>
      </c>
    </row>
    <row r="10">
      <c r="A10" s="1" t="s">
        <v>106</v>
      </c>
    </row>
    <row r="11">
      <c r="A11" s="2" t="s">
        <v>107</v>
      </c>
    </row>
    <row r="12">
      <c r="A12" s="1" t="s">
        <v>108</v>
      </c>
    </row>
    <row r="13">
      <c r="A13" s="1" t="s">
        <v>109</v>
      </c>
    </row>
    <row r="14">
      <c r="A14" s="1" t="s">
        <v>110</v>
      </c>
    </row>
    <row r="15">
      <c r="A15" s="1" t="s">
        <v>111</v>
      </c>
    </row>
    <row r="16">
      <c r="A16" s="1" t="s">
        <v>112</v>
      </c>
    </row>
    <row r="17">
      <c r="A17" s="1" t="s">
        <v>113</v>
      </c>
    </row>
    <row r="18">
      <c r="A18" s="1" t="s">
        <v>114</v>
      </c>
    </row>
    <row r="19">
      <c r="A19" s="1" t="s">
        <v>115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</row>
    <row r="2">
      <c r="A2" s="1" t="s">
        <v>116</v>
      </c>
    </row>
    <row r="3">
      <c r="A3" s="1" t="s">
        <v>117</v>
      </c>
    </row>
    <row r="4">
      <c r="A4" s="1" t="s">
        <v>118</v>
      </c>
    </row>
    <row r="5">
      <c r="A5" s="1" t="s">
        <v>119</v>
      </c>
    </row>
    <row r="6">
      <c r="A6" s="1" t="s">
        <v>120</v>
      </c>
    </row>
    <row r="7">
      <c r="A7" s="1" t="s">
        <v>121</v>
      </c>
    </row>
    <row r="8">
      <c r="A8" s="1" t="s">
        <v>122</v>
      </c>
    </row>
    <row r="9">
      <c r="A9" s="1" t="s">
        <v>123</v>
      </c>
    </row>
    <row r="10">
      <c r="A10" s="1" t="s">
        <v>124</v>
      </c>
    </row>
    <row r="11">
      <c r="A11" s="1" t="s">
        <v>125</v>
      </c>
    </row>
    <row r="12">
      <c r="A12" s="1" t="s">
        <v>126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2" t="s">
        <v>97</v>
      </c>
      <c r="C1" s="2" t="s">
        <v>41</v>
      </c>
    </row>
    <row r="2">
      <c r="A2" s="1" t="s">
        <v>127</v>
      </c>
      <c r="B2" s="2" t="s">
        <v>99</v>
      </c>
      <c r="C2" s="2" t="s">
        <v>29</v>
      </c>
    </row>
    <row r="3">
      <c r="A3" s="1" t="s">
        <v>128</v>
      </c>
      <c r="C3" s="2" t="s">
        <v>129</v>
      </c>
    </row>
    <row r="4">
      <c r="A4" s="1" t="s">
        <v>130</v>
      </c>
    </row>
    <row r="5">
      <c r="A5" s="1" t="s">
        <v>131</v>
      </c>
    </row>
    <row r="6">
      <c r="A6" s="1" t="s">
        <v>132</v>
      </c>
    </row>
    <row r="7">
      <c r="A7" s="1" t="s">
        <v>133</v>
      </c>
    </row>
    <row r="8">
      <c r="A8" s="1" t="s">
        <v>134</v>
      </c>
    </row>
    <row r="9">
      <c r="A9" s="1" t="s">
        <v>135</v>
      </c>
    </row>
    <row r="10">
      <c r="A10" s="1" t="s">
        <v>136</v>
      </c>
    </row>
    <row r="11">
      <c r="A11" s="1" t="s">
        <v>137</v>
      </c>
    </row>
    <row r="12">
      <c r="A12" s="1" t="s">
        <v>138</v>
      </c>
    </row>
    <row r="13">
      <c r="A13" s="1" t="s">
        <v>139</v>
      </c>
    </row>
    <row r="14">
      <c r="A14" s="1" t="s">
        <v>140</v>
      </c>
    </row>
    <row r="15">
      <c r="A15" s="1" t="s">
        <v>141</v>
      </c>
    </row>
    <row r="16">
      <c r="A16" s="1" t="s">
        <v>142</v>
      </c>
    </row>
    <row r="17">
      <c r="A17" s="1" t="s">
        <v>143</v>
      </c>
    </row>
    <row r="18">
      <c r="A18" s="1" t="s">
        <v>144</v>
      </c>
    </row>
    <row r="19">
      <c r="A19" s="1" t="s">
        <v>145</v>
      </c>
    </row>
    <row r="20">
      <c r="A20" s="1" t="s">
        <v>146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2" t="s">
        <v>97</v>
      </c>
      <c r="C1" s="1" t="s">
        <v>147</v>
      </c>
    </row>
    <row r="2">
      <c r="A2" s="1" t="s">
        <v>148</v>
      </c>
      <c r="B2" s="2" t="s">
        <v>99</v>
      </c>
      <c r="C2" s="1" t="s">
        <v>149</v>
      </c>
    </row>
    <row r="3">
      <c r="A3" s="1" t="s">
        <v>150</v>
      </c>
      <c r="C3" s="1" t="s">
        <v>151</v>
      </c>
    </row>
    <row r="4">
      <c r="A4" s="1" t="s">
        <v>152</v>
      </c>
    </row>
    <row r="5">
      <c r="A5" s="1" t="s">
        <v>153</v>
      </c>
    </row>
    <row r="6">
      <c r="A6" s="3" t="str">
        <f>+2.1 مليون,الشهر 1,تدفق 90 يوم</f>
        <v>#ERROR!</v>
      </c>
    </row>
    <row r="7">
      <c r="A7" s="3" t="str">
        <f>+1.8 مليون,الشهر 2,تدفق 90 يوم</f>
        <v>#ERROR!</v>
      </c>
    </row>
    <row r="8">
      <c r="A8" s="3" t="str">
        <f>+3.2 مليون,الشهر 3,تدفق 90 يوم</f>
        <v>#ERROR!</v>
      </c>
    </row>
    <row r="9">
      <c r="A9" s="1" t="s">
        <v>154</v>
      </c>
    </row>
    <row r="10">
      <c r="A10" s="1" t="s">
        <v>155</v>
      </c>
    </row>
    <row r="11">
      <c r="A11" s="1" t="s">
        <v>156</v>
      </c>
    </row>
    <row r="12">
      <c r="A12" s="1" t="s">
        <v>157</v>
      </c>
    </row>
    <row r="13">
      <c r="A13" s="1" t="s">
        <v>158</v>
      </c>
    </row>
    <row r="14">
      <c r="A14" s="1" t="s">
        <v>159</v>
      </c>
    </row>
    <row r="15">
      <c r="A15" s="1" t="s">
        <v>160</v>
      </c>
    </row>
    <row r="16">
      <c r="A16" s="1" t="s">
        <v>161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</row>
    <row r="2">
      <c r="A2" s="1" t="s">
        <v>162</v>
      </c>
    </row>
    <row r="3">
      <c r="A3" s="1" t="s">
        <v>163</v>
      </c>
    </row>
    <row r="4">
      <c r="A4" s="1" t="s">
        <v>164</v>
      </c>
    </row>
    <row r="5">
      <c r="A5" s="1" t="s">
        <v>165</v>
      </c>
    </row>
    <row r="6">
      <c r="A6" s="1" t="s">
        <v>166</v>
      </c>
    </row>
    <row r="7">
      <c r="A7" s="2" t="s">
        <v>167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169</v>
      </c>
    </row>
    <row r="2">
      <c r="A2" s="4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</sheetData>
  <drawing r:id="rId1"/>
</worksheet>
</file>